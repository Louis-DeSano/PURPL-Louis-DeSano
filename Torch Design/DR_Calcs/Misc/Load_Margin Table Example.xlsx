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ouis/Desktop/PURPL/Torch Design/DR_Calcs/"/>
    </mc:Choice>
  </mc:AlternateContent>
  <xr:revisionPtr revIDLastSave="0" documentId="13_ncr:1_{00D11FE7-F4C7-B941-BA6F-5A67263811D7}" xr6:coauthVersionLast="47" xr6:coauthVersionMax="47" xr10:uidLastSave="{00000000-0000-0000-0000-000000000000}"/>
  <bookViews>
    <workbookView xWindow="0" yWindow="500" windowWidth="33600" windowHeight="18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E21" i="1"/>
  <c r="H21" i="1" s="1"/>
  <c r="E20" i="1"/>
  <c r="H20" i="1" s="1"/>
  <c r="F8" i="1"/>
  <c r="I8" i="1" s="1"/>
  <c r="E8" i="1"/>
  <c r="H8" i="1" s="1"/>
  <c r="F7" i="1"/>
  <c r="I7" i="1" s="1"/>
  <c r="E7" i="1"/>
  <c r="H7" i="1" s="1"/>
</calcChain>
</file>

<file path=xl/sharedStrings.xml><?xml version="1.0" encoding="utf-8"?>
<sst xmlns="http://schemas.openxmlformats.org/spreadsheetml/2006/main" count="33" uniqueCount="17">
  <si>
    <t>Allowables</t>
  </si>
  <si>
    <t>Yield (psi)</t>
  </si>
  <si>
    <t>Ultimate (psi)</t>
  </si>
  <si>
    <t>Load case</t>
  </si>
  <si>
    <t xml:space="preserve">SF_y </t>
  </si>
  <si>
    <t>SF_u</t>
  </si>
  <si>
    <t>S_y (psi)</t>
  </si>
  <si>
    <t>S_u (psi)</t>
  </si>
  <si>
    <t>M_y</t>
  </si>
  <si>
    <t>M_u</t>
  </si>
  <si>
    <t>σ_limit (psi)</t>
  </si>
  <si>
    <t>Torch Holding Own Pressure
300psi @ 1500F</t>
  </si>
  <si>
    <t>Torch Holding MCA Pressure
500psi @ 1500F</t>
  </si>
  <si>
    <t>304 Stainless Steel @ 1500 °F</t>
  </si>
  <si>
    <t>Torch Holding Own Pressure
300psi @ 1500°F</t>
  </si>
  <si>
    <t>Torch Holding MCA Pressure
500psi @ 1500°F</t>
  </si>
  <si>
    <t>Copper 182 @ 900°F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</si>
</sst>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rgb="FFE06666"/>
      </patternFill>
    </fill>
    <fill>
      <patternFill patternType="solid">
        <fgColor theme="7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10" fontId="1" fillId="4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33"/>
  <sheetViews>
    <sheetView tabSelected="1" zoomScale="150" workbookViewId="0">
      <selection activeCell="C8" sqref="C8"/>
    </sheetView>
  </sheetViews>
  <sheetFormatPr baseColWidth="10" defaultColWidth="12.6640625" defaultRowHeight="15.75" customHeight="1" x14ac:dyDescent="0.15"/>
  <cols>
    <col min="2" max="2" width="36.1640625" bestFit="1" customWidth="1"/>
    <col min="3" max="3" width="9.6640625" customWidth="1"/>
    <col min="4" max="4" width="10.83203125" customWidth="1"/>
    <col min="5" max="6" width="7.6640625" customWidth="1"/>
    <col min="7" max="7" width="4.83203125" customWidth="1"/>
    <col min="8" max="8" width="9.1640625" bestFit="1" customWidth="1"/>
    <col min="9" max="9" width="8.6640625" customWidth="1"/>
  </cols>
  <sheetData>
    <row r="2" spans="2:9" ht="15.75" customHeight="1" x14ac:dyDescent="0.15">
      <c r="B2" s="1" t="s">
        <v>0</v>
      </c>
      <c r="C2" s="2" t="s">
        <v>1</v>
      </c>
      <c r="D2" s="2" t="s">
        <v>2</v>
      </c>
    </row>
    <row r="3" spans="2:9" ht="15.75" customHeight="1" x14ac:dyDescent="0.15">
      <c r="B3" s="3" t="s">
        <v>13</v>
      </c>
      <c r="C3" s="4">
        <v>9900</v>
      </c>
      <c r="D3" s="4">
        <v>18000</v>
      </c>
      <c r="E3" s="5"/>
      <c r="F3" s="6"/>
    </row>
    <row r="6" spans="2:9" ht="15.75" customHeight="1" x14ac:dyDescent="0.15">
      <c r="B6" s="1" t="s">
        <v>3</v>
      </c>
      <c r="C6" s="2" t="s">
        <v>4</v>
      </c>
      <c r="D6" s="2" t="s">
        <v>5</v>
      </c>
      <c r="E6" s="2" t="s">
        <v>6</v>
      </c>
      <c r="F6" s="2" t="s">
        <v>7</v>
      </c>
      <c r="H6" s="7" t="s">
        <v>8</v>
      </c>
      <c r="I6" s="7" t="s">
        <v>9</v>
      </c>
    </row>
    <row r="7" spans="2:9" ht="28" x14ac:dyDescent="0.15">
      <c r="B7" s="8" t="s">
        <v>11</v>
      </c>
      <c r="C7" s="4">
        <v>2.5</v>
      </c>
      <c r="D7" s="4">
        <v>5</v>
      </c>
      <c r="E7" s="4">
        <f t="shared" ref="E7:F7" si="0">$C11*C7</f>
        <v>1639.8125</v>
      </c>
      <c r="F7" s="4">
        <f t="shared" si="0"/>
        <v>3279.625</v>
      </c>
      <c r="G7" s="6"/>
      <c r="H7" s="9">
        <f>C$3/E7-1</f>
        <v>5.037275603155849</v>
      </c>
      <c r="I7" s="10">
        <f t="shared" ref="I7" si="1">D$3/F7-1</f>
        <v>4.4884323665053172</v>
      </c>
    </row>
    <row r="8" spans="2:9" ht="28" x14ac:dyDescent="0.15">
      <c r="B8" s="8" t="s">
        <v>12</v>
      </c>
      <c r="C8" s="4">
        <v>2.5</v>
      </c>
      <c r="D8" s="4">
        <v>5</v>
      </c>
      <c r="E8" s="4">
        <f t="shared" ref="E8:F8" si="2">$C12*C8</f>
        <v>2733.0200000000004</v>
      </c>
      <c r="F8" s="4">
        <f t="shared" si="2"/>
        <v>5466.0400000000009</v>
      </c>
      <c r="G8" s="6"/>
      <c r="H8" s="10">
        <f t="shared" ref="H8:I8" si="3">C$3/E8-1</f>
        <v>2.6223664663998063</v>
      </c>
      <c r="I8" s="10">
        <f t="shared" si="3"/>
        <v>2.2930604239998238</v>
      </c>
    </row>
    <row r="10" spans="2:9" ht="15.75" customHeight="1" x14ac:dyDescent="0.15">
      <c r="B10" s="1" t="s">
        <v>3</v>
      </c>
      <c r="C10" s="2" t="s">
        <v>10</v>
      </c>
    </row>
    <row r="11" spans="2:9" ht="28" x14ac:dyDescent="0.15">
      <c r="B11" s="8" t="s">
        <v>14</v>
      </c>
      <c r="C11" s="4">
        <v>655.92499999999995</v>
      </c>
    </row>
    <row r="12" spans="2:9" ht="28" x14ac:dyDescent="0.15">
      <c r="B12" s="8" t="s">
        <v>15</v>
      </c>
      <c r="C12" s="4">
        <v>1093.2080000000001</v>
      </c>
    </row>
    <row r="15" spans="2:9" ht="15.75" customHeight="1" x14ac:dyDescent="0.15">
      <c r="B15" s="1" t="s">
        <v>0</v>
      </c>
      <c r="C15" s="2" t="s">
        <v>1</v>
      </c>
      <c r="D15" s="2" t="s">
        <v>2</v>
      </c>
    </row>
    <row r="16" spans="2:9" ht="15.75" customHeight="1" x14ac:dyDescent="0.15">
      <c r="B16" s="3" t="s">
        <v>16</v>
      </c>
      <c r="C16" s="4">
        <f>22000</f>
        <v>22000</v>
      </c>
      <c r="D16" s="4"/>
      <c r="E16" s="5"/>
      <c r="F16" s="6"/>
    </row>
    <row r="19" spans="2:9" ht="15.75" customHeight="1" x14ac:dyDescent="0.15">
      <c r="B19" s="1" t="s">
        <v>3</v>
      </c>
      <c r="C19" s="2" t="s">
        <v>4</v>
      </c>
      <c r="D19" s="2" t="s">
        <v>5</v>
      </c>
      <c r="E19" s="2" t="s">
        <v>6</v>
      </c>
      <c r="F19" s="2" t="s">
        <v>7</v>
      </c>
      <c r="H19" s="7" t="s">
        <v>8</v>
      </c>
      <c r="I19" s="7"/>
    </row>
    <row r="20" spans="2:9" ht="28" x14ac:dyDescent="0.15">
      <c r="B20" s="8" t="s">
        <v>11</v>
      </c>
      <c r="C20" s="4">
        <v>2.5</v>
      </c>
      <c r="D20" s="4"/>
      <c r="E20" s="4">
        <f>$C24*C20</f>
        <v>1299.2325000000001</v>
      </c>
      <c r="F20" s="4"/>
      <c r="G20" s="6"/>
      <c r="H20" s="9">
        <f>C$3/E20-1</f>
        <v>6.6198832772425256</v>
      </c>
      <c r="I20" s="10"/>
    </row>
    <row r="21" spans="2:9" ht="28" x14ac:dyDescent="0.15">
      <c r="B21" s="8" t="s">
        <v>12</v>
      </c>
      <c r="C21" s="4">
        <v>2.5</v>
      </c>
      <c r="D21" s="4"/>
      <c r="E21" s="4">
        <f>$C25*C21</f>
        <v>2165.3874999999998</v>
      </c>
      <c r="F21" s="4"/>
      <c r="G21" s="6"/>
      <c r="H21" s="10">
        <f>C$3/E21-1</f>
        <v>3.5719299663455155</v>
      </c>
      <c r="I21" s="10"/>
    </row>
    <row r="23" spans="2:9" ht="15.75" customHeight="1" x14ac:dyDescent="0.15">
      <c r="B23" s="1" t="s">
        <v>3</v>
      </c>
      <c r="C23" s="2" t="s">
        <v>10</v>
      </c>
    </row>
    <row r="24" spans="2:9" ht="15.75" customHeight="1" x14ac:dyDescent="0.15">
      <c r="B24" s="8" t="s">
        <v>14</v>
      </c>
      <c r="C24" s="11">
        <v>519.69299999999998</v>
      </c>
    </row>
    <row r="25" spans="2:9" ht="15.75" customHeight="1" x14ac:dyDescent="0.15">
      <c r="B25" s="8" t="s">
        <v>15</v>
      </c>
      <c r="C25" s="11">
        <v>866.15499999999997</v>
      </c>
    </row>
    <row r="31" spans="2:9" ht="15" customHeight="1" x14ac:dyDescent="0.15"/>
    <row r="32" spans="2:9" ht="28" customHeight="1" x14ac:dyDescent="0.15"/>
    <row r="33" ht="29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Carmelo DeSano</cp:lastModifiedBy>
  <dcterms:modified xsi:type="dcterms:W3CDTF">2026-02-08T17:22:02Z</dcterms:modified>
</cp:coreProperties>
</file>